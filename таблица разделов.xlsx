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!курсач\"/>
    </mc:Choice>
  </mc:AlternateContent>
  <xr:revisionPtr revIDLastSave="0" documentId="13_ncr:1_{8B2693FF-67A1-4818-AECE-D9BFC732319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" i="1" l="1"/>
  <c r="F3" i="1" l="1"/>
  <c r="F21" i="1" s="1"/>
  <c r="F4" i="1"/>
  <c r="F22" i="1" s="1"/>
  <c r="F5" i="1"/>
  <c r="F23" i="1" s="1"/>
  <c r="F6" i="1"/>
  <c r="F24" i="1" s="1"/>
  <c r="F7" i="1"/>
  <c r="F25" i="1" s="1"/>
  <c r="F8" i="1"/>
  <c r="F26" i="1" s="1"/>
  <c r="F9" i="1"/>
  <c r="F27" i="1" s="1"/>
  <c r="F10" i="1"/>
  <c r="F28" i="1" s="1"/>
  <c r="F11" i="1"/>
  <c r="F29" i="1" s="1"/>
  <c r="F2" i="1"/>
  <c r="F20" i="1" s="1"/>
  <c r="C12" i="1"/>
  <c r="C30" i="1" s="1"/>
  <c r="D12" i="1"/>
  <c r="E12" i="1"/>
  <c r="E30" i="1" s="1"/>
  <c r="B12" i="1"/>
  <c r="B30" i="1" s="1"/>
  <c r="F12" i="1" l="1"/>
  <c r="D30" i="1"/>
</calcChain>
</file>

<file path=xl/sharedStrings.xml><?xml version="1.0" encoding="utf-8"?>
<sst xmlns="http://schemas.openxmlformats.org/spreadsheetml/2006/main" count="165" uniqueCount="150">
  <si>
    <t>Основы психического здоровья</t>
  </si>
  <si>
    <t>Стресс и управление стрессом</t>
  </si>
  <si>
    <t>Сон и восстановление</t>
  </si>
  <si>
    <t>Эмоциональное благополучие</t>
  </si>
  <si>
    <t>Социальное здоровье</t>
  </si>
  <si>
    <t>Когнитивное здоровье</t>
  </si>
  <si>
    <t>Вредные привычки и зависимости</t>
  </si>
  <si>
    <t>Распространённые расстройства</t>
  </si>
  <si>
    <t>Практики самопомощи</t>
  </si>
  <si>
    <t>Мифы и стигма</t>
  </si>
  <si>
    <t>глоссарные статьи</t>
  </si>
  <si>
    <t>Карточки сущностей</t>
  </si>
  <si>
    <t>Правила-рекомендации</t>
  </si>
  <si>
    <t>Факты/мифы</t>
  </si>
  <si>
    <t>Итого:</t>
  </si>
  <si>
    <t>Необходимо:</t>
  </si>
  <si>
    <t>Регулярная физическая активность снижает риск депрессии и тревожности</t>
  </si>
  <si>
    <t>Антидепрессанты вызывают зависимость и меняют личность</t>
  </si>
  <si>
    <t>Дыхательные техники могут быстро снизить уровень острого стресса</t>
  </si>
  <si>
    <t>Депрессия — это просто плохое настроение, которое пройдёт само</t>
  </si>
  <si>
    <t>Медитация и осознанность — это панацея от всех психических проблем</t>
  </si>
  <si>
    <t>Позитивное мышление и сила воли могут вылечить клиническую депрессию</t>
  </si>
  <si>
    <t>Обращение к психотерапевту — признак слабости</t>
  </si>
  <si>
    <t>Качественный сон критически важен для эмоциональной регуляции и когнитивных функций</t>
  </si>
  <si>
    <t>Социальные связи — один из самых мощных факторов защиты ментального здоровья</t>
  </si>
  <si>
    <t>Регулярная практика благодарности улучшает субъективное благополучие</t>
  </si>
  <si>
    <t>GLOSS</t>
  </si>
  <si>
    <t>TECH</t>
  </si>
  <si>
    <t>COND</t>
  </si>
  <si>
    <t>HABIT</t>
  </si>
  <si>
    <t>SELF</t>
  </si>
  <si>
    <t>RULE</t>
  </si>
  <si>
    <t>FACT</t>
  </si>
  <si>
    <t>MYTH</t>
  </si>
  <si>
    <t>Тревожность</t>
  </si>
  <si>
    <t>Депрессия</t>
  </si>
  <si>
    <t>Эмоциональное выгорание</t>
  </si>
  <si>
    <t>Вечерний ритуал отключения</t>
  </si>
  <si>
    <t>Практика благодарности</t>
  </si>
  <si>
    <t>Рекомендация по управлению стрессом в течение дня</t>
  </si>
  <si>
    <t>Правило 5-4-3-2-1</t>
  </si>
  <si>
    <t>Сценарий: первая помощь при панической атаке</t>
  </si>
  <si>
    <t xml:space="preserve">Медитация осознанности </t>
  </si>
  <si>
    <t>Дыхательная техника 4-7-8</t>
  </si>
  <si>
    <t>Прогрессивная мышечная релаксация</t>
  </si>
  <si>
    <t>Выгорание (профессиональное)</t>
  </si>
  <si>
    <t>Циркадные ритмы</t>
  </si>
  <si>
    <t>Копинг-стратегии</t>
  </si>
  <si>
    <t>Эмоциональная регуляция</t>
  </si>
  <si>
    <t>Эмоциональный интеллект</t>
  </si>
  <si>
    <t>Ментальное здоровье</t>
  </si>
  <si>
    <t>Осознанность</t>
  </si>
  <si>
    <t>Резильнтность</t>
  </si>
  <si>
    <t>Гигиена сна</t>
  </si>
  <si>
    <t>Стресс</t>
  </si>
  <si>
    <t>Правило утренней настройки</t>
  </si>
  <si>
    <t>Правило микро-пауз при работе за компьютером</t>
  </si>
  <si>
    <t>Правило осознанного дыхания при стрессе</t>
  </si>
  <si>
    <t>Правило ведения дневника настроения</t>
  </si>
  <si>
    <t>Правило социальных контактов</t>
  </si>
  <si>
    <t>Правило физической активности для снижения тревоги</t>
  </si>
  <si>
    <t>Правило когнитивной переоценки негативных мыслей</t>
  </si>
  <si>
    <t>Правило восстановления после эмоционального напряжения</t>
  </si>
  <si>
    <t>RULE-001, RULE-004, RULE-007, RULE-009</t>
  </si>
  <si>
    <t>Хронический недосып</t>
  </si>
  <si>
    <t>Чрезмерное потребление новостей и соцсетей</t>
  </si>
  <si>
    <t xml:space="preserve">HABIT-001, </t>
  </si>
  <si>
    <t>Практика осознанного питания</t>
  </si>
  <si>
    <t>Злоупотребление кофеином</t>
  </si>
  <si>
    <t>Избегание социальных контактов</t>
  </si>
  <si>
    <t>Практика цифрового минимализма</t>
  </si>
  <si>
    <t>Руминация перед сном</t>
  </si>
  <si>
    <t>Руминация</t>
  </si>
  <si>
    <t>Когнитивный резерв</t>
  </si>
  <si>
    <t>Нейропластичность</t>
  </si>
  <si>
    <t>GLOSS-006, GLOSS-007</t>
  </si>
  <si>
    <t>GLOSS-008, GLOSS-009</t>
  </si>
  <si>
    <t>Рабочая память</t>
  </si>
  <si>
    <t>Практика интервального повторения для памяти</t>
  </si>
  <si>
    <t>Правило когнитивной разгрузки через внешние носители</t>
  </si>
  <si>
    <t>Правило чередования типов когнитивной нагрузки</t>
  </si>
  <si>
    <t>Правило обучения новому для поддержания нейропластичности</t>
  </si>
  <si>
    <t>RULE-010, RULE-011, RULE-012, RULE-013</t>
  </si>
  <si>
    <t>Мультизадачность развивает мозг и повышает продуктивность</t>
  </si>
  <si>
    <t>Сценарий: первая помощь при острой тревоге</t>
  </si>
  <si>
    <t>Сценарий: управление перегрузкой мыслями</t>
  </si>
  <si>
    <t>Сценарий: восстановление после эмоционального истощения</t>
  </si>
  <si>
    <t>Сценарий: подготовка к сложному разговору</t>
  </si>
  <si>
    <t>Сценарий: работа с самокритикой</t>
  </si>
  <si>
    <t>Сценарий: засыпание при тревожных мыслях</t>
  </si>
  <si>
    <t>Сценарий: управление реакцией на критику</t>
  </si>
  <si>
    <t>Сценарий: восстановление мотивации при апатии</t>
  </si>
  <si>
    <t>Сценарий: установление границы в общении</t>
  </si>
  <si>
    <t>SELF-1-11</t>
  </si>
  <si>
    <t>Правило утреннего света для регуляции циркадных ритмов</t>
  </si>
  <si>
    <t>Правило практики самосострадания в трудные моменты</t>
  </si>
  <si>
    <t>Прокрастинация</t>
  </si>
  <si>
    <t>Привычка сравнивать себя с другими в соцсетях</t>
  </si>
  <si>
    <t>RULE-006, HABIT-011</t>
  </si>
  <si>
    <t>Привычка игнорировать сигналы усталости</t>
  </si>
  <si>
    <t>Курение табака</t>
  </si>
  <si>
    <t>Употребление алкоголя</t>
  </si>
  <si>
    <t>Цифровая зависимость</t>
  </si>
  <si>
    <t>Правило отказа от курения</t>
  </si>
  <si>
    <t>Правило отказа от алкоголя</t>
  </si>
  <si>
    <t>Правило управления цифровой нагрузкой</t>
  </si>
  <si>
    <t>Вейпинг и электронные сигареты</t>
  </si>
  <si>
    <t>Компульсивное использование смартфонов</t>
  </si>
  <si>
    <t>Правило осознанного потребления алкоголя</t>
  </si>
  <si>
    <t xml:space="preserve">HABIT-003, HABIT-004, HABIT-006, HABIT-007, HABIT-009, HABIT-012-017, RULE-016-020, </t>
  </si>
  <si>
    <t>Социальное тревожное расстройство</t>
  </si>
  <si>
    <t>COND-004</t>
  </si>
  <si>
    <t>Паническое расстройство</t>
  </si>
  <si>
    <t>Обсессивно-компульсивное расстройство</t>
  </si>
  <si>
    <t>Посттравматическое стрессовое расстройство</t>
  </si>
  <si>
    <t>Биполярное аффективное расстройство</t>
  </si>
  <si>
    <t>COND-002, COND-003, COND-005, COND-006, COND-007, COND-008, HABIT-010</t>
  </si>
  <si>
    <t>Техника визуализации безопасного места</t>
  </si>
  <si>
    <t>Техника «СТОП» для управления импульсами</t>
  </si>
  <si>
    <t>Техника экспрессивного письма</t>
  </si>
  <si>
    <t>TECH-001, TECH-002, COND-001, TECH-004, TECH-006</t>
  </si>
  <si>
    <t>Правило гигиены сна для восстановления</t>
  </si>
  <si>
    <t>Правило разрешения конфликтов в отношениях</t>
  </si>
  <si>
    <t>RULE-014, RULE-020, RULE-021</t>
  </si>
  <si>
    <t>Правило поддержки ментального здоровья для беременных и молодых мам</t>
  </si>
  <si>
    <t>Правило поддержки ментального здоровья для подростков</t>
  </si>
  <si>
    <t>Связь между хроническим заболеванием и ментальным здоровьем</t>
  </si>
  <si>
    <t>HABIT-002, HABIT-005, HABIT-008,  TECH-003, TECH-005, COND-009</t>
  </si>
  <si>
    <t>MYTH-1-7, FACT-1-5</t>
  </si>
  <si>
    <t>Пожилым людям не нужна помощь с ментальным здоровьем</t>
  </si>
  <si>
    <t>Правило поддержки ментального здоровья для пожилых людей</t>
  </si>
  <si>
    <t>Правило поддержки ментального здоровья при хронических заболеваниях</t>
  </si>
  <si>
    <t>Правило поддержки в период утраты</t>
  </si>
  <si>
    <t>RULE-002, RULE-003, RULE-005, RULE-008, RULE-015, RULE-022-026</t>
  </si>
  <si>
    <t>Когнитивность</t>
  </si>
  <si>
    <t>Диагностический порог</t>
  </si>
  <si>
    <t>GLOSS-012, GLOSS-013, GLOSS-014, GLOSS-015</t>
  </si>
  <si>
    <t>Деперсонализация</t>
  </si>
  <si>
    <t>GLOSS-002, GLOSS-003, GLOSS-005, GLOSS-011, GLOSS-017, GLOSS-018</t>
  </si>
  <si>
    <t>Антиципаторная тревога</t>
  </si>
  <si>
    <t>Флешбек</t>
  </si>
  <si>
    <t>GLOSS-019</t>
  </si>
  <si>
    <t>Паттерн</t>
  </si>
  <si>
    <t>Компульсии</t>
  </si>
  <si>
    <t>GLOSS-001, GLOSS-004, GLOSS-010, GLOSS-016, GLOSS-020, GLOSS-021</t>
  </si>
  <si>
    <t>Цифровая гигиена</t>
  </si>
  <si>
    <t>GLOSS-023</t>
  </si>
  <si>
    <t>Абстиненция</t>
  </si>
  <si>
    <t>Абьюз</t>
  </si>
  <si>
    <t>GLOSS-023, GLOSS-024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</si>
</sst>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topLeftCell="A27" zoomScaleNormal="100" workbookViewId="0">
      <selection activeCell="Y33" sqref="Y33"/>
    </sheetView>
  </sheetViews>
  <sheetFormatPr defaultRowHeight="14.4" x14ac:dyDescent="0.3"/>
  <cols>
    <col min="1" max="1" width="19.109375" customWidth="1"/>
    <col min="2" max="2" width="12" customWidth="1"/>
    <col min="3" max="3" width="10.109375" customWidth="1"/>
    <col min="4" max="4" width="10.88671875" customWidth="1"/>
    <col min="5" max="5" width="12.33203125" customWidth="1"/>
    <col min="6" max="6" width="11.33203125" customWidth="1"/>
    <col min="7" max="7" width="10.109375" customWidth="1"/>
    <col min="8" max="8" width="10.21875" customWidth="1"/>
    <col min="9" max="10" width="10.109375" customWidth="1"/>
    <col min="11" max="11" width="10.44140625" customWidth="1"/>
    <col min="12" max="12" width="10.5546875" customWidth="1"/>
  </cols>
  <sheetData>
    <row r="1" spans="1:6" ht="42.6" customHeight="1" x14ac:dyDescent="0.3"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ht="43.2" x14ac:dyDescent="0.3">
      <c r="A2" s="1" t="s">
        <v>0</v>
      </c>
      <c r="B2" s="2">
        <v>6</v>
      </c>
      <c r="C2" s="2"/>
      <c r="D2" s="2"/>
      <c r="E2" s="2"/>
      <c r="F2" s="2">
        <f>SUM(B2:E2)</f>
        <v>6</v>
      </c>
    </row>
    <row r="3" spans="1:6" ht="28.8" x14ac:dyDescent="0.3">
      <c r="A3" s="1" t="s">
        <v>1</v>
      </c>
      <c r="B3" s="2">
        <v>6</v>
      </c>
      <c r="C3" s="2">
        <v>5</v>
      </c>
      <c r="D3" s="2">
        <v>4</v>
      </c>
      <c r="E3" s="2"/>
      <c r="F3" s="2">
        <f t="shared" ref="F3:F11" si="0">SUM(B3:E3)</f>
        <v>15</v>
      </c>
    </row>
    <row r="4" spans="1:6" ht="28.8" x14ac:dyDescent="0.3">
      <c r="A4" s="1" t="s">
        <v>2</v>
      </c>
      <c r="B4" s="2">
        <v>2</v>
      </c>
      <c r="C4" s="2">
        <v>1</v>
      </c>
      <c r="D4" s="2">
        <v>3</v>
      </c>
      <c r="E4" s="2"/>
      <c r="F4" s="2">
        <f t="shared" si="0"/>
        <v>6</v>
      </c>
    </row>
    <row r="5" spans="1:6" ht="28.8" x14ac:dyDescent="0.3">
      <c r="A5" s="1" t="s">
        <v>3</v>
      </c>
      <c r="B5" s="2">
        <v>2</v>
      </c>
      <c r="C5" s="2">
        <v>6</v>
      </c>
      <c r="D5" s="2">
        <v>10</v>
      </c>
      <c r="E5" s="2"/>
      <c r="F5" s="2">
        <f t="shared" si="0"/>
        <v>18</v>
      </c>
    </row>
    <row r="6" spans="1:6" ht="28.8" x14ac:dyDescent="0.3">
      <c r="A6" s="1" t="s">
        <v>4</v>
      </c>
      <c r="B6" s="2">
        <v>2</v>
      </c>
      <c r="C6" s="2">
        <v>1</v>
      </c>
      <c r="D6" s="2">
        <v>2</v>
      </c>
      <c r="E6" s="2"/>
      <c r="F6" s="2">
        <f t="shared" si="0"/>
        <v>5</v>
      </c>
    </row>
    <row r="7" spans="1:6" ht="28.8" x14ac:dyDescent="0.3">
      <c r="A7" s="1" t="s">
        <v>5</v>
      </c>
      <c r="B7" s="2">
        <v>4</v>
      </c>
      <c r="C7" s="2"/>
      <c r="D7" s="2">
        <v>4</v>
      </c>
      <c r="E7" s="2"/>
      <c r="F7" s="2">
        <f t="shared" si="0"/>
        <v>8</v>
      </c>
    </row>
    <row r="8" spans="1:6" ht="28.8" x14ac:dyDescent="0.3">
      <c r="A8" s="1" t="s">
        <v>6</v>
      </c>
      <c r="B8" s="2">
        <v>1</v>
      </c>
      <c r="C8" s="2">
        <v>10</v>
      </c>
      <c r="D8" s="2">
        <v>5</v>
      </c>
      <c r="E8" s="2"/>
      <c r="F8" s="2">
        <f t="shared" si="0"/>
        <v>16</v>
      </c>
    </row>
    <row r="9" spans="1:6" ht="28.8" x14ac:dyDescent="0.3">
      <c r="A9" s="1" t="s">
        <v>7</v>
      </c>
      <c r="B9" s="2">
        <v>1</v>
      </c>
      <c r="C9" s="2">
        <v>7</v>
      </c>
      <c r="D9" s="2"/>
      <c r="E9" s="2"/>
      <c r="F9" s="2">
        <f t="shared" si="0"/>
        <v>8</v>
      </c>
    </row>
    <row r="10" spans="1:6" ht="28.8" x14ac:dyDescent="0.3">
      <c r="A10" s="1" t="s">
        <v>8</v>
      </c>
      <c r="B10" s="2"/>
      <c r="C10" s="2">
        <v>11</v>
      </c>
      <c r="E10" s="2"/>
      <c r="F10" s="2">
        <f t="shared" si="0"/>
        <v>11</v>
      </c>
    </row>
    <row r="11" spans="1:6" x14ac:dyDescent="0.3">
      <c r="A11" s="1" t="s">
        <v>9</v>
      </c>
      <c r="B11" s="2"/>
      <c r="C11" s="2"/>
      <c r="D11" s="2"/>
      <c r="E11" s="3">
        <v>12</v>
      </c>
      <c r="F11" s="3">
        <f t="shared" si="0"/>
        <v>12</v>
      </c>
    </row>
    <row r="12" spans="1:6" x14ac:dyDescent="0.3">
      <c r="A12" s="1" t="s">
        <v>14</v>
      </c>
      <c r="B12" s="2">
        <f>SUM(B2:B11)</f>
        <v>24</v>
      </c>
      <c r="C12" s="3">
        <f t="shared" ref="C12:E12" si="1">SUM(C2:C11)</f>
        <v>41</v>
      </c>
      <c r="D12" s="3">
        <f t="shared" si="1"/>
        <v>28</v>
      </c>
      <c r="E12" s="3">
        <f t="shared" si="1"/>
        <v>12</v>
      </c>
      <c r="F12" s="3">
        <f>SUM(B12:E12)</f>
        <v>105</v>
      </c>
    </row>
    <row r="13" spans="1:6" x14ac:dyDescent="0.3">
      <c r="A13" s="1" t="s">
        <v>15</v>
      </c>
      <c r="B13">
        <v>30</v>
      </c>
      <c r="C13">
        <v>25</v>
      </c>
      <c r="D13">
        <v>20</v>
      </c>
      <c r="E13" s="2">
        <v>10</v>
      </c>
      <c r="F13" s="2">
        <f>SUM(B13:E13)</f>
        <v>85</v>
      </c>
    </row>
    <row r="19" spans="1:28" ht="43.2" x14ac:dyDescent="0.3">
      <c r="B19" s="5" t="s">
        <v>10</v>
      </c>
      <c r="C19" s="1" t="s">
        <v>11</v>
      </c>
      <c r="D19" s="1" t="s">
        <v>12</v>
      </c>
      <c r="E19" s="1" t="s">
        <v>13</v>
      </c>
      <c r="F19" s="1"/>
    </row>
    <row r="20" spans="1:28" ht="86.4" x14ac:dyDescent="0.3">
      <c r="A20" s="1" t="s">
        <v>0</v>
      </c>
      <c r="B20" s="5" t="s">
        <v>144</v>
      </c>
      <c r="C20" s="5"/>
      <c r="D20" s="5"/>
      <c r="E20" s="5"/>
      <c r="F20" s="2">
        <f>F2</f>
        <v>6</v>
      </c>
    </row>
    <row r="21" spans="1:28" ht="86.4" x14ac:dyDescent="0.3">
      <c r="A21" s="1" t="s">
        <v>1</v>
      </c>
      <c r="B21" s="5" t="s">
        <v>138</v>
      </c>
      <c r="C21" s="1" t="s">
        <v>120</v>
      </c>
      <c r="D21" s="5" t="s">
        <v>63</v>
      </c>
      <c r="E21" s="5"/>
      <c r="F21" s="2">
        <f t="shared" ref="F21:F29" si="2">F3</f>
        <v>15</v>
      </c>
    </row>
    <row r="22" spans="1:28" ht="43.2" x14ac:dyDescent="0.3">
      <c r="A22" s="1" t="s">
        <v>2</v>
      </c>
      <c r="B22" s="5" t="s">
        <v>76</v>
      </c>
      <c r="C22" s="5" t="s">
        <v>66</v>
      </c>
      <c r="D22" s="5" t="s">
        <v>123</v>
      </c>
      <c r="E22" s="5"/>
      <c r="F22" s="2">
        <f t="shared" si="2"/>
        <v>6</v>
      </c>
    </row>
    <row r="23" spans="1:28" ht="100.8" x14ac:dyDescent="0.3">
      <c r="A23" s="1" t="s">
        <v>3</v>
      </c>
      <c r="B23" s="5" t="s">
        <v>75</v>
      </c>
      <c r="C23" s="5" t="s">
        <v>127</v>
      </c>
      <c r="D23" s="5" t="s">
        <v>133</v>
      </c>
      <c r="E23" s="5"/>
      <c r="F23" s="2">
        <f t="shared" si="2"/>
        <v>18</v>
      </c>
    </row>
    <row r="24" spans="1:28" ht="28.8" x14ac:dyDescent="0.3">
      <c r="A24" s="1" t="s">
        <v>4</v>
      </c>
      <c r="B24" s="5" t="s">
        <v>149</v>
      </c>
      <c r="C24" s="5" t="s">
        <v>111</v>
      </c>
      <c r="D24" s="5" t="s">
        <v>98</v>
      </c>
      <c r="E24" s="5"/>
      <c r="F24" s="2">
        <f t="shared" si="2"/>
        <v>5</v>
      </c>
    </row>
    <row r="25" spans="1:28" ht="57.6" x14ac:dyDescent="0.3">
      <c r="A25" s="1" t="s">
        <v>5</v>
      </c>
      <c r="B25" s="5" t="s">
        <v>136</v>
      </c>
      <c r="C25" s="5"/>
      <c r="D25" s="5" t="s">
        <v>82</v>
      </c>
      <c r="E25" s="5"/>
      <c r="F25" s="2">
        <f t="shared" si="2"/>
        <v>8</v>
      </c>
    </row>
    <row r="26" spans="1:28" ht="115.2" x14ac:dyDescent="0.3">
      <c r="A26" s="1" t="s">
        <v>6</v>
      </c>
      <c r="B26" s="5" t="s">
        <v>146</v>
      </c>
      <c r="C26" s="5" t="s">
        <v>109</v>
      </c>
      <c r="D26" s="5"/>
      <c r="E26" s="5"/>
      <c r="F26" s="2">
        <f t="shared" si="2"/>
        <v>16</v>
      </c>
    </row>
    <row r="27" spans="1:28" ht="100.8" x14ac:dyDescent="0.3">
      <c r="A27" s="1" t="s">
        <v>7</v>
      </c>
      <c r="B27" s="5" t="s">
        <v>141</v>
      </c>
      <c r="C27" s="5" t="s">
        <v>116</v>
      </c>
      <c r="D27" s="5"/>
      <c r="E27" s="5"/>
      <c r="F27" s="2">
        <f t="shared" si="2"/>
        <v>8</v>
      </c>
    </row>
    <row r="28" spans="1:28" ht="28.8" x14ac:dyDescent="0.3">
      <c r="A28" s="1" t="s">
        <v>8</v>
      </c>
      <c r="B28" s="5"/>
      <c r="C28" s="5" t="s">
        <v>93</v>
      </c>
      <c r="D28" s="5"/>
      <c r="E28" s="5"/>
      <c r="F28" s="2">
        <f t="shared" si="2"/>
        <v>11</v>
      </c>
    </row>
    <row r="29" spans="1:28" ht="28.8" x14ac:dyDescent="0.3">
      <c r="A29" s="1" t="s">
        <v>9</v>
      </c>
      <c r="B29" s="5"/>
      <c r="C29" s="5"/>
      <c r="D29" s="5"/>
      <c r="E29" s="6" t="s">
        <v>128</v>
      </c>
      <c r="F29" s="2">
        <f t="shared" si="2"/>
        <v>12</v>
      </c>
    </row>
    <row r="30" spans="1:28" x14ac:dyDescent="0.3">
      <c r="A30" s="1"/>
      <c r="B30" s="2">
        <f>B12</f>
        <v>24</v>
      </c>
      <c r="C30" s="2">
        <f t="shared" ref="C30:E30" si="3">C12</f>
        <v>41</v>
      </c>
      <c r="D30" s="2">
        <f t="shared" si="3"/>
        <v>28</v>
      </c>
      <c r="E30" s="2">
        <f t="shared" si="3"/>
        <v>12</v>
      </c>
      <c r="F30" s="4"/>
    </row>
    <row r="32" spans="1:28" x14ac:dyDescent="0.3"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  <c r="N32">
        <v>13</v>
      </c>
      <c r="O32">
        <v>14</v>
      </c>
      <c r="P32">
        <v>15</v>
      </c>
      <c r="Q32">
        <v>16</v>
      </c>
      <c r="R32">
        <v>17</v>
      </c>
      <c r="S32">
        <v>18</v>
      </c>
      <c r="T32">
        <v>19</v>
      </c>
      <c r="U32">
        <v>20</v>
      </c>
      <c r="V32">
        <v>21</v>
      </c>
      <c r="W32">
        <v>22</v>
      </c>
      <c r="X32">
        <v>23</v>
      </c>
      <c r="Y32">
        <v>24</v>
      </c>
      <c r="Z32">
        <v>25</v>
      </c>
      <c r="AA32">
        <v>26</v>
      </c>
      <c r="AB32">
        <v>27</v>
      </c>
    </row>
    <row r="33" spans="1:29" ht="43.2" x14ac:dyDescent="0.3">
      <c r="A33" s="1" t="s">
        <v>26</v>
      </c>
      <c r="B33" s="14" t="s">
        <v>50</v>
      </c>
      <c r="C33" s="14" t="s">
        <v>54</v>
      </c>
      <c r="D33" s="15" t="s">
        <v>47</v>
      </c>
      <c r="E33" s="15" t="s">
        <v>48</v>
      </c>
      <c r="F33" s="15" t="s">
        <v>52</v>
      </c>
      <c r="G33" s="15" t="s">
        <v>49</v>
      </c>
      <c r="H33" s="15" t="s">
        <v>51</v>
      </c>
      <c r="I33" s="15" t="s">
        <v>46</v>
      </c>
      <c r="J33" s="15" t="s">
        <v>53</v>
      </c>
      <c r="K33" s="16" t="s">
        <v>45</v>
      </c>
      <c r="L33" s="15" t="s">
        <v>72</v>
      </c>
      <c r="M33" s="15" t="s">
        <v>73</v>
      </c>
      <c r="N33" s="15" t="s">
        <v>74</v>
      </c>
      <c r="O33" s="15" t="s">
        <v>77</v>
      </c>
      <c r="P33" s="15" t="s">
        <v>134</v>
      </c>
      <c r="Q33" s="15" t="s">
        <v>135</v>
      </c>
      <c r="R33" s="15" t="s">
        <v>137</v>
      </c>
      <c r="S33" s="17" t="s">
        <v>139</v>
      </c>
      <c r="T33" s="15" t="s">
        <v>140</v>
      </c>
      <c r="U33" s="18" t="s">
        <v>142</v>
      </c>
      <c r="V33" s="18" t="s">
        <v>143</v>
      </c>
      <c r="W33" s="18" t="s">
        <v>145</v>
      </c>
      <c r="X33" s="18" t="s">
        <v>147</v>
      </c>
      <c r="Y33" s="18" t="s">
        <v>148</v>
      </c>
      <c r="Z33" s="7"/>
      <c r="AA33" s="7"/>
      <c r="AB33" s="7"/>
      <c r="AC33" s="7"/>
    </row>
    <row r="34" spans="1:29" ht="72" x14ac:dyDescent="0.3">
      <c r="A34" s="1" t="s">
        <v>27</v>
      </c>
      <c r="B34" s="10" t="s">
        <v>43</v>
      </c>
      <c r="C34" s="10" t="s">
        <v>44</v>
      </c>
      <c r="D34" s="10" t="s">
        <v>42</v>
      </c>
      <c r="E34" s="8" t="s">
        <v>117</v>
      </c>
      <c r="F34" s="8" t="s">
        <v>118</v>
      </c>
      <c r="G34" s="8" t="s">
        <v>119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7"/>
      <c r="V34" s="7"/>
      <c r="W34" s="7"/>
      <c r="X34" s="7"/>
      <c r="Y34" s="7"/>
      <c r="Z34" s="7"/>
      <c r="AA34" s="7"/>
      <c r="AB34" s="7"/>
      <c r="AC34" s="7"/>
    </row>
    <row r="35" spans="1:29" ht="144" x14ac:dyDescent="0.3">
      <c r="A35" s="1" t="s">
        <v>28</v>
      </c>
      <c r="B35" s="5" t="s">
        <v>34</v>
      </c>
      <c r="C35" s="5" t="s">
        <v>35</v>
      </c>
      <c r="D35" s="5" t="s">
        <v>36</v>
      </c>
      <c r="E35" s="5" t="s">
        <v>110</v>
      </c>
      <c r="F35" s="5" t="s">
        <v>112</v>
      </c>
      <c r="G35" s="8" t="s">
        <v>113</v>
      </c>
      <c r="H35" s="8" t="s">
        <v>114</v>
      </c>
      <c r="I35" s="8" t="s">
        <v>115</v>
      </c>
      <c r="J35" s="8" t="s">
        <v>126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7"/>
      <c r="V35" s="7"/>
      <c r="W35" s="7"/>
      <c r="X35" s="7"/>
      <c r="Y35" s="7"/>
      <c r="Z35" s="7"/>
      <c r="AA35" s="7"/>
      <c r="AB35" s="7"/>
      <c r="AC35" s="7"/>
    </row>
    <row r="36" spans="1:29" ht="100.8" x14ac:dyDescent="0.3">
      <c r="A36" s="1" t="s">
        <v>29</v>
      </c>
      <c r="B36" s="10" t="s">
        <v>37</v>
      </c>
      <c r="C36" s="10" t="s">
        <v>38</v>
      </c>
      <c r="D36" s="5" t="s">
        <v>64</v>
      </c>
      <c r="E36" s="9" t="s">
        <v>65</v>
      </c>
      <c r="F36" s="9" t="s">
        <v>67</v>
      </c>
      <c r="G36" s="9" t="s">
        <v>68</v>
      </c>
      <c r="H36" s="9" t="s">
        <v>69</v>
      </c>
      <c r="I36" s="9" t="s">
        <v>70</v>
      </c>
      <c r="J36" s="9" t="s">
        <v>71</v>
      </c>
      <c r="K36" s="5" t="s">
        <v>96</v>
      </c>
      <c r="L36" s="9" t="s">
        <v>97</v>
      </c>
      <c r="M36" s="9" t="s">
        <v>99</v>
      </c>
      <c r="N36" s="8" t="s">
        <v>100</v>
      </c>
      <c r="O36" s="9" t="s">
        <v>101</v>
      </c>
      <c r="P36" s="8" t="s">
        <v>102</v>
      </c>
      <c r="Q36" s="8" t="s">
        <v>106</v>
      </c>
      <c r="R36" s="8" t="s">
        <v>107</v>
      </c>
      <c r="S36" s="5"/>
      <c r="T36" s="5"/>
      <c r="U36" s="7"/>
      <c r="V36" s="7"/>
      <c r="W36" s="7"/>
      <c r="X36" s="7"/>
      <c r="Y36" s="7"/>
      <c r="Z36" s="7"/>
      <c r="AA36" s="7"/>
      <c r="AB36" s="7"/>
      <c r="AC36" s="7"/>
    </row>
    <row r="37" spans="1:29" ht="86.4" x14ac:dyDescent="0.3">
      <c r="A37" s="1" t="s">
        <v>30</v>
      </c>
      <c r="B37" s="10" t="s">
        <v>41</v>
      </c>
      <c r="C37" s="10" t="s">
        <v>40</v>
      </c>
      <c r="D37" s="10" t="s">
        <v>84</v>
      </c>
      <c r="E37" s="11" t="s">
        <v>85</v>
      </c>
      <c r="F37" s="11" t="s">
        <v>86</v>
      </c>
      <c r="G37" s="10" t="s">
        <v>87</v>
      </c>
      <c r="H37" s="10" t="s">
        <v>88</v>
      </c>
      <c r="I37" s="10" t="s">
        <v>89</v>
      </c>
      <c r="J37" s="10" t="s">
        <v>90</v>
      </c>
      <c r="K37" s="10" t="s">
        <v>91</v>
      </c>
      <c r="L37" s="12" t="s">
        <v>92</v>
      </c>
      <c r="M37" s="9"/>
      <c r="N37" s="9"/>
      <c r="O37" s="9"/>
      <c r="P37" s="9"/>
      <c r="Q37" s="5"/>
      <c r="R37" s="5"/>
      <c r="S37" s="5"/>
      <c r="T37" s="5"/>
      <c r="U37" s="7"/>
      <c r="V37" s="7"/>
      <c r="W37" s="7"/>
      <c r="X37" s="7"/>
      <c r="Y37" s="7"/>
      <c r="Z37" s="7"/>
      <c r="AA37" s="7"/>
      <c r="AB37" s="7"/>
      <c r="AC37" s="7"/>
    </row>
    <row r="38" spans="1:29" ht="158.4" x14ac:dyDescent="0.3">
      <c r="A38" s="1" t="s">
        <v>31</v>
      </c>
      <c r="B38" s="10" t="s">
        <v>39</v>
      </c>
      <c r="C38" s="10" t="s">
        <v>55</v>
      </c>
      <c r="D38" s="10" t="s">
        <v>56</v>
      </c>
      <c r="E38" s="10" t="s">
        <v>57</v>
      </c>
      <c r="F38" s="10" t="s">
        <v>58</v>
      </c>
      <c r="G38" s="10" t="s">
        <v>59</v>
      </c>
      <c r="H38" s="10" t="s">
        <v>60</v>
      </c>
      <c r="I38" s="10" t="s">
        <v>61</v>
      </c>
      <c r="J38" s="10" t="s">
        <v>62</v>
      </c>
      <c r="K38" s="12" t="s">
        <v>78</v>
      </c>
      <c r="L38" s="12" t="s">
        <v>79</v>
      </c>
      <c r="M38" s="12" t="s">
        <v>80</v>
      </c>
      <c r="N38" s="12" t="s">
        <v>81</v>
      </c>
      <c r="O38" s="9" t="s">
        <v>94</v>
      </c>
      <c r="P38" s="9" t="s">
        <v>95</v>
      </c>
      <c r="Q38" s="8" t="s">
        <v>103</v>
      </c>
      <c r="R38" s="8" t="s">
        <v>104</v>
      </c>
      <c r="S38" s="8" t="s">
        <v>105</v>
      </c>
      <c r="T38" s="8" t="s">
        <v>108</v>
      </c>
      <c r="U38" s="8" t="s">
        <v>121</v>
      </c>
      <c r="V38" s="8" t="s">
        <v>122</v>
      </c>
      <c r="W38" s="8" t="s">
        <v>124</v>
      </c>
      <c r="X38" s="8" t="s">
        <v>125</v>
      </c>
      <c r="Y38" s="8" t="s">
        <v>130</v>
      </c>
      <c r="Z38" s="8" t="s">
        <v>131</v>
      </c>
      <c r="AA38" s="8" t="s">
        <v>132</v>
      </c>
      <c r="AB38" s="7"/>
      <c r="AC38" s="7"/>
    </row>
    <row r="39" spans="1:29" ht="172.8" x14ac:dyDescent="0.3">
      <c r="A39" s="1" t="s">
        <v>32</v>
      </c>
      <c r="B39" s="13" t="s">
        <v>16</v>
      </c>
      <c r="C39" s="13" t="s">
        <v>23</v>
      </c>
      <c r="D39" s="10" t="s">
        <v>24</v>
      </c>
      <c r="E39" s="13" t="s">
        <v>18</v>
      </c>
      <c r="F39" s="10" t="s">
        <v>25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7"/>
      <c r="V39" s="7"/>
      <c r="W39" s="7"/>
      <c r="X39" s="7"/>
      <c r="Y39" s="7"/>
      <c r="Z39" s="7"/>
      <c r="AA39" s="7"/>
      <c r="AB39" s="7"/>
      <c r="AC39" s="7"/>
    </row>
    <row r="40" spans="1:29" ht="129.6" x14ac:dyDescent="0.3">
      <c r="A40" s="1" t="s">
        <v>33</v>
      </c>
      <c r="B40" s="13" t="s">
        <v>19</v>
      </c>
      <c r="C40" s="13" t="s">
        <v>20</v>
      </c>
      <c r="D40" s="13" t="s">
        <v>22</v>
      </c>
      <c r="E40" s="13" t="s">
        <v>17</v>
      </c>
      <c r="F40" s="13" t="s">
        <v>21</v>
      </c>
      <c r="G40" s="9" t="s">
        <v>83</v>
      </c>
      <c r="H40" s="8" t="s">
        <v>129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7"/>
      <c r="V40" s="7"/>
      <c r="W40" s="7"/>
      <c r="X40" s="7"/>
      <c r="Y40" s="7"/>
      <c r="Z40" s="7"/>
      <c r="AA40" s="7"/>
      <c r="AB40" s="7"/>
      <c r="AC40" s="7"/>
    </row>
    <row r="41" spans="1:29" x14ac:dyDescent="0.3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3">
      <c r="A42" s="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3">
      <c r="A43" s="1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2026-03-27T19:50:49Z</dcterms:modified>
</cp:coreProperties>
</file>